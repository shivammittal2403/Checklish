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171a58025244df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SO42001 Checklist" sheetId="1" r:id="Rf366ba47baea4314"/>
    <x:sheet xmlns:r="http://schemas.openxmlformats.org/officeDocument/2006/relationships" name="Summary" sheetId="2" r:id="Rd73371642cad4b0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%"/>
  </x:numFmts>
  <x:fonts count="2">
    <x:font>
      <x:sz val="11"/>
      <x:color theme="1"/>
      <x:name val="Calibri"/>
    </x:font>
    <x:font>
      <x:b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4">
    <x:xf numFmtId="0" fontId="0" fillId="0" borderId="0" xfId="0"/>
    <x:xf numFmtId="0" fontId="1" fillId="0" borderId="0" xfId="0"/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ce737d38913425a" /><Relationship Type="http://schemas.openxmlformats.org/officeDocument/2006/relationships/theme" Target="/xl/theme/theme1.xml" Id="Rf85ada60ed2841f2" /><Relationship Type="http://schemas.openxmlformats.org/officeDocument/2006/relationships/sharedStrings" Target="/xl/sharedStrings.xml" Id="R7c4f36d642ef4845" /><Relationship Type="http://schemas.openxmlformats.org/officeDocument/2006/relationships/worksheet" Target="/xl/worksheets/sheet1.xml" Id="Rf366ba47baea4314" /><Relationship Type="http://schemas.openxmlformats.org/officeDocument/2006/relationships/worksheet" Target="/xl/worksheets/sheet2.xml" Id="Rd73371642cad4b0d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30" customWidth="1"/>
    <x:col min="2" max="2" width="30" customWidth="1"/>
    <x:col min="3" max="3" width="30" customWidth="1"/>
    <x:col min="4" max="4" width="30" customWidth="1"/>
    <x:col min="5" max="5" width="30" customWidth="1"/>
    <x:col min="6" max="6" width="30" customWidth="1"/>
  </x:cols>
  <x:sheetData>
    <x:row r="1">
      <x:c r="A1" s="1" t="inlineStr">
        <x:is>
          <x:t xml:space="preserve">Control #</x:t>
        </x:is>
      </x:c>
      <x:c r="B1" s="1" t="inlineStr">
        <x:is>
          <x:t xml:space="preserve">Control Name</x:t>
        </x:is>
      </x:c>
      <x:c r="C1" s="1" t="inlineStr">
        <x:is>
          <x:t xml:space="preserve">Verification Question</x:t>
        </x:is>
      </x:c>
      <x:c r="D1" s="1" t="inlineStr">
        <x:is>
          <x:t xml:space="preserve">Evidence Required</x:t>
        </x:is>
      </x:c>
      <x:c r="E1" s="1" t="inlineStr">
        <x:is>
          <x:t xml:space="preserve">Status</x:t>
        </x:is>
      </x:c>
      <x:c r="F1" s="1" t="inlineStr">
        <x:is>
          <x:t xml:space="preserve">Notes</x:t>
        </x:is>
      </x:c>
    </x:row>
    <x:row r="2">
      <x:c r="A2" t="n">
        <x:v>1</x:v>
      </x:c>
      <x:c r="B2" t="inlineStr">
        <x:is>
          <x:t xml:space="preserve">AI Policy</x:t>
        </x:is>
      </x:c>
      <x:c r="C2" t="inlineStr">
        <x:is>
          <x:t xml:space="preserve">Is there a documented AI governance policy approved by leadership?</x:t>
        </x:is>
      </x:c>
      <x:c r="D2" t="inlineStr">
        <x:is>
          <x:t xml:space="preserve">AI policy document</x:t>
        </x:is>
      </x:c>
      <x:c r="E2" t="inlineStr">
        <x:is>
          <x:t xml:space="preserve"/>
        </x:is>
      </x:c>
      <x:c r="F2" t="inlineStr">
        <x:is>
          <x:t xml:space="preserve"/>
        </x:is>
      </x:c>
    </x:row>
    <x:row r="3">
      <x:c r="A3" t="n">
        <x:v>2</x:v>
      </x:c>
      <x:c r="B3" t="inlineStr">
        <x:is>
          <x:t xml:space="preserve">Acceptable AI Use Policy</x:t>
        </x:is>
      </x:c>
      <x:c r="C3" t="inlineStr">
        <x:is>
          <x:t xml:space="preserve">Are rules defined for internal AI usage and restrictions?</x:t>
        </x:is>
      </x:c>
      <x:c r="D3" t="inlineStr">
        <x:is>
          <x:t xml:space="preserve">Acceptable use policy</x:t>
        </x:is>
      </x:c>
      <x:c r="E3" t="inlineStr">
        <x:is>
          <x:t xml:space="preserve"/>
        </x:is>
      </x:c>
      <x:c r="F3" t="inlineStr">
        <x:is>
          <x:t xml:space="preserve"/>
        </x:is>
      </x:c>
    </x:row>
    <x:row r="4">
      <x:c r="A4" t="n">
        <x:v>3</x:v>
      </x:c>
      <x:c r="B4" t="inlineStr">
        <x:is>
          <x:t xml:space="preserve">AI Governance Structure</x:t>
        </x:is>
      </x:c>
      <x:c r="C4" t="inlineStr">
        <x:is>
          <x:t xml:space="preserve">Does the organization have an AI governance committee or board?</x:t>
        </x:is>
      </x:c>
      <x:c r="D4" t="inlineStr">
        <x:is>
          <x:t xml:space="preserve">Governance charter</x:t>
        </x:is>
      </x:c>
      <x:c r="E4" t="inlineStr">
        <x:is>
          <x:t xml:space="preserve"/>
        </x:is>
      </x:c>
      <x:c r="F4" t="inlineStr">
        <x:is>
          <x:t xml:space="preserve"/>
        </x:is>
      </x:c>
    </x:row>
    <x:row r="5">
      <x:c r="A5" t="n">
        <x:v>4</x:v>
      </x:c>
      <x:c r="B5" t="inlineStr">
        <x:is>
          <x:t xml:space="preserve">Roles and Responsibilities</x:t>
        </x:is>
      </x:c>
      <x:c r="C5" t="inlineStr">
        <x:is>
          <x:t xml:space="preserve">Are AI responsibilities assigned across teams?</x:t>
        </x:is>
      </x:c>
      <x:c r="D5" t="inlineStr">
        <x:is>
          <x:t xml:space="preserve">RACI matrix</x:t>
        </x:is>
      </x:c>
      <x:c r="E5" t="inlineStr">
        <x:is>
          <x:t xml:space="preserve"/>
        </x:is>
      </x:c>
      <x:c r="F5" t="inlineStr">
        <x:is>
          <x:t xml:space="preserve"/>
        </x:is>
      </x:c>
    </x:row>
    <x:row r="6">
      <x:c r="A6" t="n">
        <x:v>5</x:v>
      </x:c>
      <x:c r="B6" t="inlineStr">
        <x:is>
          <x:t xml:space="preserve">Segregation of Duties</x:t>
        </x:is>
      </x:c>
      <x:c r="C6" t="inlineStr">
        <x:is>
          <x:t xml:space="preserve">Are AI development and approval roles separated?</x:t>
        </x:is>
      </x:c>
      <x:c r="D6" t="inlineStr">
        <x:is>
          <x:t xml:space="preserve">Access control documentation</x:t>
        </x:is>
      </x:c>
      <x:c r="E6" t="inlineStr">
        <x:is>
          <x:t xml:space="preserve"/>
        </x:is>
      </x:c>
      <x:c r="F6" t="inlineStr">
        <x:is>
          <x:t xml:space="preserve"/>
        </x:is>
      </x:c>
    </x:row>
    <x:row r="7">
      <x:c r="A7" t="n">
        <x:v>6</x:v>
      </x:c>
      <x:c r="B7" t="inlineStr">
        <x:is>
          <x:t xml:space="preserve">AI Skilled Personnel</x:t>
        </x:is>
      </x:c>
      <x:c r="C7" t="inlineStr">
        <x:is>
          <x:t xml:space="preserve">Are staff trained in AI governance and development?</x:t>
        </x:is>
      </x:c>
      <x:c r="D7" t="inlineStr">
        <x:is>
          <x:t xml:space="preserve">Training records</x:t>
        </x:is>
      </x:c>
      <x:c r="E7" t="inlineStr">
        <x:is>
          <x:t xml:space="preserve"/>
        </x:is>
      </x:c>
      <x:c r="F7" t="inlineStr">
        <x:is>
          <x:t xml:space="preserve"/>
        </x:is>
      </x:c>
    </x:row>
    <x:row r="8">
      <x:c r="A8" t="n">
        <x:v>7</x:v>
      </x:c>
      <x:c r="B8" t="inlineStr">
        <x:is>
          <x:t xml:space="preserve">Infrastructure Security</x:t>
        </x:is>
      </x:c>
      <x:c r="C8" t="inlineStr">
        <x:is>
          <x:t xml:space="preserve">Are AI systems deployed on secure infrastructure?</x:t>
        </x:is>
      </x:c>
      <x:c r="D8" t="inlineStr">
        <x:is>
          <x:t xml:space="preserve">Infrastructure documentation</x:t>
        </x:is>
      </x:c>
      <x:c r="E8" t="inlineStr">
        <x:is>
          <x:t xml:space="preserve"/>
        </x:is>
      </x:c>
      <x:c r="F8" t="inlineStr">
        <x:is>
          <x:t xml:space="preserve"/>
        </x:is>
      </x:c>
    </x:row>
    <x:row r="9">
      <x:c r="A9" t="n">
        <x:v>8</x:v>
      </x:c>
      <x:c r="B9" t="inlineStr">
        <x:is>
          <x:t xml:space="preserve">Competency Management</x:t>
        </x:is>
      </x:c>
      <x:c r="C9" t="inlineStr">
        <x:is>
          <x:t xml:space="preserve">Is there a process to maintain AI expertise?</x:t>
        </x:is>
      </x:c>
      <x:c r="D9" t="inlineStr">
        <x:is>
          <x:t xml:space="preserve">HR competency matrix</x:t>
        </x:is>
      </x:c>
      <x:c r="E9" t="inlineStr">
        <x:is>
          <x:t xml:space="preserve"/>
        </x:is>
      </x:c>
      <x:c r="F9" t="inlineStr">
        <x:is>
          <x:t xml:space="preserve"/>
        </x:is>
      </x:c>
    </x:row>
    <x:row r="10">
      <x:c r="A10" t="n">
        <x:v>9</x:v>
      </x:c>
      <x:c r="B10" t="inlineStr">
        <x:is>
          <x:t xml:space="preserve">AI Impact Assessment</x:t>
        </x:is>
      </x:c>
      <x:c r="C10" t="inlineStr">
        <x:is>
          <x:t xml:space="preserve">Are AI systems evaluated for societal and individual impact?</x:t>
        </x:is>
      </x:c>
      <x:c r="D10" t="inlineStr">
        <x:is>
          <x:t xml:space="preserve">AI impact assessment report</x:t>
        </x:is>
      </x:c>
      <x:c r="E10" t="inlineStr">
        <x:is>
          <x:t xml:space="preserve"/>
        </x:is>
      </x:c>
      <x:c r="F10" t="inlineStr">
        <x:is>
          <x:t xml:space="preserve"/>
        </x:is>
      </x:c>
    </x:row>
    <x:row r="11">
      <x:c r="A11" t="n">
        <x:v>10</x:v>
      </x:c>
      <x:c r="B11" t="inlineStr">
        <x:is>
          <x:t xml:space="preserve">Risk Identification</x:t>
        </x:is>
      </x:c>
      <x:c r="C11" t="inlineStr">
        <x:is>
          <x:t xml:space="preserve">Are potential harms from AI documented?</x:t>
        </x:is>
      </x:c>
      <x:c r="D11" t="inlineStr">
        <x:is>
          <x:t xml:space="preserve">Risk register</x:t>
        </x:is>
      </x:c>
      <x:c r="E11" t="inlineStr">
        <x:is>
          <x:t xml:space="preserve"/>
        </x:is>
      </x:c>
      <x:c r="F11" t="inlineStr">
        <x:is>
          <x:t xml:space="preserve"/>
        </x:is>
      </x:c>
    </x:row>
    <x:row r="12">
      <x:c r="A12" t="n">
        <x:v>11</x:v>
      </x:c>
      <x:c r="B12" t="inlineStr">
        <x:is>
          <x:t xml:space="preserve">Context Analysis</x:t>
        </x:is>
      </x:c>
      <x:c r="C12" t="inlineStr">
        <x:is>
          <x:t xml:space="preserve">Is the context of AI use documented?</x:t>
        </x:is>
      </x:c>
      <x:c r="D12" t="inlineStr">
        <x:is>
          <x:t xml:space="preserve">System documentation</x:t>
        </x:is>
      </x:c>
      <x:c r="E12" t="inlineStr">
        <x:is>
          <x:t xml:space="preserve"/>
        </x:is>
      </x:c>
      <x:c r="F12" t="inlineStr">
        <x:is>
          <x:t xml:space="preserve"/>
        </x:is>
      </x:c>
    </x:row>
    <x:row r="13">
      <x:c r="A13" t="n">
        <x:v>12</x:v>
      </x:c>
      <x:c r="B13" t="inlineStr">
        <x:is>
          <x:t xml:space="preserve">Stakeholder Impact</x:t>
        </x:is>
      </x:c>
      <x:c r="C13" t="inlineStr">
        <x:is>
          <x:t xml:space="preserve">Are affected stakeholders identified?</x:t>
        </x:is>
      </x:c>
      <x:c r="D13" t="inlineStr">
        <x:is>
          <x:t xml:space="preserve">Stakeholder analysis</x:t>
        </x:is>
      </x:c>
      <x:c r="E13" t="inlineStr">
        <x:is>
          <x:t xml:space="preserve"/>
        </x:is>
      </x:c>
      <x:c r="F13" t="inlineStr">
        <x:is>
          <x:t xml:space="preserve"/>
        </x:is>
      </x:c>
    </x:row>
    <x:row r="14">
      <x:c r="A14" t="n">
        <x:v>13</x:v>
      </x:c>
      <x:c r="B14" t="inlineStr">
        <x:is>
          <x:t xml:space="preserve">Risk Mitigation</x:t>
        </x:is>
      </x:c>
      <x:c r="C14" t="inlineStr">
        <x:is>
          <x:t xml:space="preserve">Are mitigation strategies implemented?</x:t>
        </x:is>
      </x:c>
      <x:c r="D14" t="inlineStr">
        <x:is>
          <x:t xml:space="preserve">Risk treatment plan</x:t>
        </x:is>
      </x:c>
      <x:c r="E14" t="inlineStr">
        <x:is>
          <x:t xml:space="preserve"/>
        </x:is>
      </x:c>
      <x:c r="F14" t="inlineStr">
        <x:is>
          <x:t xml:space="preserve"/>
        </x:is>
      </x:c>
    </x:row>
    <x:row r="15">
      <x:c r="A15" t="n">
        <x:v>14</x:v>
      </x:c>
      <x:c r="B15" t="inlineStr">
        <x:is>
          <x:t xml:space="preserve">Design Governance</x:t>
        </x:is>
      </x:c>
      <x:c r="C15" t="inlineStr">
        <x:is>
          <x:t xml:space="preserve">Are AI system design reviews conducted?</x:t>
        </x:is>
      </x:c>
      <x:c r="D15" t="inlineStr">
        <x:is>
          <x:t xml:space="preserve">Design review documentation</x:t>
        </x:is>
      </x:c>
      <x:c r="E15" t="inlineStr">
        <x:is>
          <x:t xml:space="preserve"/>
        </x:is>
      </x:c>
      <x:c r="F15" t="inlineStr">
        <x:is>
          <x:t xml:space="preserve"/>
        </x:is>
      </x:c>
    </x:row>
    <x:row r="16">
      <x:c r="A16" t="n">
        <x:v>15</x:v>
      </x:c>
      <x:c r="B16" t="inlineStr">
        <x:is>
          <x:t xml:space="preserve">Development Controls</x:t>
        </x:is>
      </x:c>
      <x:c r="C16" t="inlineStr">
        <x:is>
          <x:t xml:space="preserve">Are coding standards defined for AI development?</x:t>
        </x:is>
      </x:c>
      <x:c r="D16" t="inlineStr">
        <x:is>
          <x:t xml:space="preserve">SDLC documentation</x:t>
        </x:is>
      </x:c>
      <x:c r="E16" t="inlineStr">
        <x:is>
          <x:t xml:space="preserve"/>
        </x:is>
      </x:c>
      <x:c r="F16" t="inlineStr">
        <x:is>
          <x:t xml:space="preserve"/>
        </x:is>
      </x:c>
    </x:row>
    <x:row r="17">
      <x:c r="A17" t="n">
        <x:v>16</x:v>
      </x:c>
      <x:c r="B17" t="inlineStr">
        <x:is>
          <x:t xml:space="preserve">Model Testing</x:t>
        </x:is>
      </x:c>
      <x:c r="C17" t="inlineStr">
        <x:is>
          <x:t xml:space="preserve">Are AI models tested before deployment?</x:t>
        </x:is>
      </x:c>
      <x:c r="D17" t="inlineStr">
        <x:is>
          <x:t xml:space="preserve">Test reports</x:t>
        </x:is>
      </x:c>
      <x:c r="E17" t="inlineStr">
        <x:is>
          <x:t xml:space="preserve"/>
        </x:is>
      </x:c>
      <x:c r="F17" t="inlineStr">
        <x:is>
          <x:t xml:space="preserve"/>
        </x:is>
      </x:c>
    </x:row>
    <x:row r="18">
      <x:c r="A18" t="n">
        <x:v>17</x:v>
      </x:c>
      <x:c r="B18" t="inlineStr">
        <x:is>
          <x:t xml:space="preserve">Deployment Controls</x:t>
        </x:is>
      </x:c>
      <x:c r="C18" t="inlineStr">
        <x:is>
          <x:t xml:space="preserve">Is formal approval required before deployment?</x:t>
        </x:is>
      </x:c>
      <x:c r="D18" t="inlineStr">
        <x:is>
          <x:t xml:space="preserve">Deployment approval logs</x:t>
        </x:is>
      </x:c>
      <x:c r="E18" t="inlineStr">
        <x:is>
          <x:t xml:space="preserve"/>
        </x:is>
      </x:c>
      <x:c r="F18" t="inlineStr">
        <x:is>
          <x:t xml:space="preserve"/>
        </x:is>
      </x:c>
    </x:row>
    <x:row r="19">
      <x:c r="A19" t="n">
        <x:v>18</x:v>
      </x:c>
      <x:c r="B19" t="inlineStr">
        <x:is>
          <x:t xml:space="preserve">Performance Monitoring</x:t>
        </x:is>
      </x:c>
      <x:c r="C19" t="inlineStr">
        <x:is>
          <x:t xml:space="preserve">Are AI models continuously monitored?</x:t>
        </x:is>
      </x:c>
      <x:c r="D19" t="inlineStr">
        <x:is>
          <x:t xml:space="preserve">Monitoring dashboards</x:t>
        </x:is>
      </x:c>
      <x:c r="E19" t="inlineStr">
        <x:is>
          <x:t xml:space="preserve"/>
        </x:is>
      </x:c>
      <x:c r="F19" t="inlineStr">
        <x:is>
          <x:t xml:space="preserve"/>
        </x:is>
      </x:c>
    </x:row>
    <x:row r="20">
      <x:c r="A20" t="n">
        <x:v>19</x:v>
      </x:c>
      <x:c r="B20" t="inlineStr">
        <x:is>
          <x:t xml:space="preserve">Incident Response</x:t>
        </x:is>
      </x:c>
      <x:c r="C20" t="inlineStr">
        <x:is>
          <x:t xml:space="preserve">Is there an incident response plan for AI failures?</x:t>
        </x:is>
      </x:c>
      <x:c r="D20" t="inlineStr">
        <x:is>
          <x:t xml:space="preserve">Incident response procedures</x:t>
        </x:is>
      </x:c>
      <x:c r="E20" t="inlineStr">
        <x:is>
          <x:t xml:space="preserve"/>
        </x:is>
      </x:c>
      <x:c r="F20" t="inlineStr">
        <x:is>
          <x:t xml:space="preserve"/>
        </x:is>
      </x:c>
    </x:row>
    <x:row r="21">
      <x:c r="A21" t="n">
        <x:v>20</x:v>
      </x:c>
      <x:c r="B21" t="inlineStr">
        <x:is>
          <x:t xml:space="preserve">Change Management</x:t>
        </x:is>
      </x:c>
      <x:c r="C21" t="inlineStr">
        <x:is>
          <x:t xml:space="preserve">Are AI model changes tracked and approved?</x:t>
        </x:is>
      </x:c>
      <x:c r="D21" t="inlineStr">
        <x:is>
          <x:t xml:space="preserve">Change logs</x:t>
        </x:is>
      </x:c>
      <x:c r="E21" t="inlineStr">
        <x:is>
          <x:t xml:space="preserve"/>
        </x:is>
      </x:c>
      <x:c r="F21" t="inlineStr">
        <x:is>
          <x:t xml:space="preserve"/>
        </x:is>
      </x:c>
    </x:row>
    <x:row r="22">
      <x:c r="A22" t="n">
        <x:v>21</x:v>
      </x:c>
      <x:c r="B22" t="inlineStr">
        <x:is>
          <x:t xml:space="preserve">Decommissioning</x:t>
        </x:is>
      </x:c>
      <x:c r="C22" t="inlineStr">
        <x:is>
          <x:t xml:space="preserve">Are retired models securely decommissioned?</x:t>
        </x:is>
      </x:c>
      <x:c r="D22" t="inlineStr">
        <x:is>
          <x:t xml:space="preserve">Decommission documentation</x:t>
        </x:is>
      </x:c>
      <x:c r="E22" t="inlineStr">
        <x:is>
          <x:t xml:space="preserve"/>
        </x:is>
      </x:c>
      <x:c r="F22" t="inlineStr">
        <x:is>
          <x:t xml:space="preserve"/>
        </x:is>
      </x:c>
    </x:row>
    <x:row r="23">
      <x:c r="A23" t="n">
        <x:v>22</x:v>
      </x:c>
      <x:c r="B23" t="inlineStr">
        <x:is>
          <x:t xml:space="preserve">Data Collection</x:t>
        </x:is>
      </x:c>
      <x:c r="C23" t="inlineStr">
        <x:is>
          <x:t xml:space="preserve">Are datasets sourced legally and ethically?</x:t>
        </x:is>
      </x:c>
      <x:c r="D23" t="inlineStr">
        <x:is>
          <x:t xml:space="preserve">Data acquisition documentation</x:t>
        </x:is>
      </x:c>
      <x:c r="E23" t="inlineStr">
        <x:is>
          <x:t xml:space="preserve"/>
        </x:is>
      </x:c>
      <x:c r="F23" t="inlineStr">
        <x:is>
          <x:t xml:space="preserve"/>
        </x:is>
      </x:c>
    </x:row>
    <x:row r="24">
      <x:c r="A24" t="n">
        <x:v>23</x:v>
      </x:c>
      <x:c r="B24" t="inlineStr">
        <x:is>
          <x:t xml:space="preserve">Data Quality</x:t>
        </x:is>
      </x:c>
      <x:c r="C24" t="inlineStr">
        <x:is>
          <x:t xml:space="preserve">Are processes in place for verifying data quality?</x:t>
        </x:is>
      </x:c>
      <x:c r="D24" t="inlineStr">
        <x:is>
          <x:t xml:space="preserve">Data quality reports</x:t>
        </x:is>
      </x:c>
      <x:c r="E24" t="inlineStr">
        <x:is>
          <x:t xml:space="preserve"/>
        </x:is>
      </x:c>
      <x:c r="F24" t="inlineStr">
        <x:is>
          <x:t xml:space="preserve"/>
        </x:is>
      </x:c>
    </x:row>
    <x:row r="25">
      <x:c r="A25" t="n">
        <x:v>24</x:v>
      </x:c>
      <x:c r="B25" t="inlineStr">
        <x:is>
          <x:t xml:space="preserve">Bias Detection</x:t>
        </x:is>
      </x:c>
      <x:c r="C25" t="inlineStr">
        <x:is>
          <x:t xml:space="preserve">Are datasets tested for bias?</x:t>
        </x:is>
      </x:c>
      <x:c r="D25" t="inlineStr">
        <x:is>
          <x:t xml:space="preserve">Bias analysis report</x:t>
        </x:is>
      </x:c>
      <x:c r="E25" t="inlineStr">
        <x:is>
          <x:t xml:space="preserve"/>
        </x:is>
      </x:c>
      <x:c r="F25" t="inlineStr">
        <x:is>
          <x:t xml:space="preserve"/>
        </x:is>
      </x:c>
    </x:row>
    <x:row r="26">
      <x:c r="A26" t="n">
        <x:v>25</x:v>
      </x:c>
      <x:c r="B26" t="inlineStr">
        <x:is>
          <x:t xml:space="preserve">Data Annotation</x:t>
        </x:is>
      </x:c>
      <x:c r="C26" t="inlineStr">
        <x:is>
          <x:t xml:space="preserve">Are labeling processes controlled?</x:t>
        </x:is>
      </x:c>
      <x:c r="D26" t="inlineStr">
        <x:is>
          <x:t xml:space="preserve">Annotation guidelines</x:t>
        </x:is>
      </x:c>
      <x:c r="E26" t="inlineStr">
        <x:is>
          <x:t xml:space="preserve"/>
        </x:is>
      </x:c>
      <x:c r="F26" t="inlineStr">
        <x:is>
          <x:t xml:space="preserve"/>
        </x:is>
      </x:c>
    </x:row>
    <x:row r="27">
      <x:c r="A27" t="n">
        <x:v>26</x:v>
      </x:c>
      <x:c r="B27" t="inlineStr">
        <x:is>
          <x:t xml:space="preserve">Dataset Documentation</x:t>
        </x:is>
      </x:c>
      <x:c r="C27" t="inlineStr">
        <x:is>
          <x:t xml:space="preserve">Are datasets documented with metadata?</x:t>
        </x:is>
      </x:c>
      <x:c r="D27" t="inlineStr">
        <x:is>
          <x:t xml:space="preserve">Dataset inventory</x:t>
        </x:is>
      </x:c>
      <x:c r="E27" t="inlineStr">
        <x:is>
          <x:t xml:space="preserve"/>
        </x:is>
      </x:c>
      <x:c r="F27" t="inlineStr">
        <x:is>
          <x:t xml:space="preserve"/>
        </x:is>
      </x:c>
    </x:row>
    <x:row r="28">
      <x:c r="A28" t="n">
        <x:v>27</x:v>
      </x:c>
      <x:c r="B28" t="inlineStr">
        <x:is>
          <x:t xml:space="preserve">Privacy Controls</x:t>
        </x:is>
      </x:c>
      <x:c r="C28" t="inlineStr">
        <x:is>
          <x:t xml:space="preserve">Is personal data protected according to privacy regulations?</x:t>
        </x:is>
      </x:c>
      <x:c r="D28" t="inlineStr">
        <x:is>
          <x:t xml:space="preserve">Privacy compliance reports</x:t>
        </x:is>
      </x:c>
      <x:c r="E28" t="inlineStr">
        <x:is>
          <x:t xml:space="preserve"/>
        </x:is>
      </x:c>
      <x:c r="F28" t="inlineStr">
        <x:is>
          <x:t xml:space="preserve"/>
        </x:is>
      </x:c>
    </x:row>
    <x:row r="29">
      <x:c r="A29" t="n">
        <x:v>28</x:v>
      </x:c>
      <x:c r="B29" t="inlineStr">
        <x:is>
          <x:t xml:space="preserve">AI Transparency</x:t>
        </x:is>
      </x:c>
      <x:c r="C29" t="inlineStr">
        <x:is>
          <x:t xml:space="preserve">Are AI capabilities disclosed to users?</x:t>
        </x:is>
      </x:c>
      <x:c r="D29" t="inlineStr">
        <x:is>
          <x:t xml:space="preserve">User documentation</x:t>
        </x:is>
      </x:c>
      <x:c r="E29" t="inlineStr">
        <x:is>
          <x:t xml:space="preserve"/>
        </x:is>
      </x:c>
      <x:c r="F29" t="inlineStr">
        <x:is>
          <x:t xml:space="preserve"/>
        </x:is>
      </x:c>
    </x:row>
    <x:row r="30">
      <x:c r="A30" t="n">
        <x:v>29</x:v>
      </x:c>
      <x:c r="B30" t="inlineStr">
        <x:is>
          <x:t xml:space="preserve">Decision Documentation</x:t>
        </x:is>
      </x:c>
      <x:c r="C30" t="inlineStr">
        <x:is>
          <x:t xml:space="preserve">Are AI decision processes documented?</x:t>
        </x:is>
      </x:c>
      <x:c r="D30" t="inlineStr">
        <x:is>
          <x:t xml:space="preserve">Model documentation</x:t>
        </x:is>
      </x:c>
      <x:c r="E30" t="inlineStr">
        <x:is>
          <x:t xml:space="preserve"/>
        </x:is>
      </x:c>
      <x:c r="F30" t="inlineStr">
        <x:is>
          <x:t xml:space="preserve"/>
        </x:is>
      </x:c>
    </x:row>
    <x:row r="31">
      <x:c r="A31" t="n">
        <x:v>30</x:v>
      </x:c>
      <x:c r="B31" t="inlineStr">
        <x:is>
          <x:t xml:space="preserve">User Communication</x:t>
        </x:is>
      </x:c>
      <x:c r="C31" t="inlineStr">
        <x:is>
          <x:t xml:space="preserve">Are users informed about AI limitations?</x:t>
        </x:is>
      </x:c>
      <x:c r="D31" t="inlineStr">
        <x:is>
          <x:t xml:space="preserve">Communication policies</x:t>
        </x:is>
      </x:c>
      <x:c r="E31" t="inlineStr">
        <x:is>
          <x:t xml:space="preserve"/>
        </x:is>
      </x:c>
      <x:c r="F31" t="inlineStr">
        <x:is>
          <x:t xml:space="preserve"/>
        </x:is>
      </x:c>
    </x:row>
    <x:row r="32">
      <x:c r="A32" t="n">
        <x:v>31</x:v>
      </x:c>
      <x:c r="B32" t="inlineStr">
        <x:is>
          <x:t xml:space="preserve">Operational Controls</x:t>
        </x:is>
      </x:c>
      <x:c r="C32" t="inlineStr">
        <x:is>
          <x:t xml:space="preserve">Are operational safeguards in place?</x:t>
        </x:is>
      </x:c>
      <x:c r="D32" t="inlineStr">
        <x:is>
          <x:t xml:space="preserve">Operational procedures</x:t>
        </x:is>
      </x:c>
      <x:c r="E32" t="inlineStr">
        <x:is>
          <x:t xml:space="preserve"/>
        </x:is>
      </x:c>
      <x:c r="F32" t="inlineStr">
        <x:is>
          <x:t xml:space="preserve"/>
        </x:is>
      </x:c>
    </x:row>
    <x:row r="33">
      <x:c r="A33" t="n">
        <x:v>32</x:v>
      </x:c>
      <x:c r="B33" t="inlineStr">
        <x:is>
          <x:t xml:space="preserve">Human Oversight</x:t>
        </x:is>
      </x:c>
      <x:c r="C33" t="inlineStr">
        <x:is>
          <x:t xml:space="preserve">Is human review implemented where required?</x:t>
        </x:is>
      </x:c>
      <x:c r="D33" t="inlineStr">
        <x:is>
          <x:t xml:space="preserve">Oversight policies</x:t>
        </x:is>
      </x:c>
      <x:c r="E33" t="inlineStr">
        <x:is>
          <x:t xml:space="preserve"/>
        </x:is>
      </x:c>
      <x:c r="F33" t="inlineStr">
        <x:is>
          <x:t xml:space="preserve"/>
        </x:is>
      </x:c>
    </x:row>
    <x:row r="34">
      <x:c r="A34" t="n">
        <x:v>33</x:v>
      </x:c>
      <x:c r="B34" t="inlineStr">
        <x:is>
          <x:t xml:space="preserve">Outcome Monitoring</x:t>
        </x:is>
      </x:c>
      <x:c r="C34" t="inlineStr">
        <x:is>
          <x:t xml:space="preserve">Are AI outputs monitored for anomalies?</x:t>
        </x:is>
      </x:c>
      <x:c r="D34" t="inlineStr">
        <x:is>
          <x:t xml:space="preserve">Monitoring logs</x:t>
        </x:is>
      </x:c>
      <x:c r="E34" t="inlineStr">
        <x:is>
          <x:t xml:space="preserve"/>
        </x:is>
      </x:c>
      <x:c r="F34" t="inlineStr">
        <x:is>
          <x:t xml:space="preserve"/>
        </x:is>
      </x:c>
    </x:row>
    <x:row r="35">
      <x:c r="A35" t="n">
        <x:v>34</x:v>
      </x:c>
      <x:c r="B35" t="inlineStr">
        <x:is>
          <x:t xml:space="preserve">Autonomous Control</x:t>
        </x:is>
      </x:c>
      <x:c r="C35" t="inlineStr">
        <x:is>
          <x:t xml:space="preserve">Are safeguards defined for automated decisions?</x:t>
        </x:is>
      </x:c>
      <x:c r="D35" t="inlineStr">
        <x:is>
          <x:t xml:space="preserve">Control documentation</x:t>
        </x:is>
      </x:c>
      <x:c r="E35" t="inlineStr">
        <x:is>
          <x:t xml:space="preserve"/>
        </x:is>
      </x:c>
      <x:c r="F35" t="inlineStr">
        <x:is>
          <x:t xml:space="preserve"/>
        </x:is>
      </x:c>
    </x:row>
    <x:row r="36">
      <x:c r="A36" t="n">
        <x:v>35</x:v>
      </x:c>
      <x:c r="B36" t="inlineStr">
        <x:is>
          <x:t xml:space="preserve">Vendor Risk Assessment</x:t>
        </x:is>
      </x:c>
      <x:c r="C36" t="inlineStr">
        <x:is>
          <x:t xml:space="preserve">Are AI vendors evaluated for risk?</x:t>
        </x:is>
      </x:c>
      <x:c r="D36" t="inlineStr">
        <x:is>
          <x:t xml:space="preserve">Vendor risk assessment</x:t>
        </x:is>
      </x:c>
      <x:c r="E36" t="inlineStr">
        <x:is>
          <x:t xml:space="preserve"/>
        </x:is>
      </x:c>
      <x:c r="F36" t="inlineStr">
        <x:is>
          <x:t xml:space="preserve"/>
        </x:is>
      </x:c>
    </x:row>
    <x:row r="37">
      <x:c r="A37" t="n">
        <x:v>36</x:v>
      </x:c>
      <x:c r="B37" t="inlineStr">
        <x:is>
          <x:t xml:space="preserve">External Model Evaluation</x:t>
        </x:is>
      </x:c>
      <x:c r="C37" t="inlineStr">
        <x:is>
          <x:t xml:space="preserve">Are third-party models validated before use?</x:t>
        </x:is>
      </x:c>
      <x:c r="D37" t="inlineStr">
        <x:is>
          <x:t xml:space="preserve">Evaluation reports</x:t>
        </x:is>
      </x:c>
      <x:c r="E37" t="inlineStr">
        <x:is>
          <x:t xml:space="preserve"/>
        </x:is>
      </x:c>
      <x:c r="F37" t="inlineStr">
        <x:is>
          <x:t xml:space="preserve"/>
        </x:is>
      </x:c>
    </x:row>
    <x:row r="38">
      <x:c r="A38" t="n">
        <x:v>37</x:v>
      </x:c>
      <x:c r="B38" t="inlineStr">
        <x:is>
          <x:t xml:space="preserve">Contractual AI Governance</x:t>
        </x:is>
      </x:c>
      <x:c r="C38" t="inlineStr">
        <x:is>
          <x:t xml:space="preserve">Are AI clauses included in contracts?</x:t>
        </x:is>
      </x:c>
      <x:c r="D38" t="inlineStr">
        <x:is>
          <x:t xml:space="preserve">Vendor contracts</x:t>
        </x:is>
      </x:c>
      <x:c r="E38" t="inlineStr">
        <x:is>
          <x:t xml:space="preserve"/>
        </x:is>
      </x:c>
      <x:c r="F38" t="inlineStr">
        <x:is>
          <x:t xml:space="preserve"/>
        </x:is>
      </x:c>
    </x:row>
    <x:row r="39">
      <x:c r="A39" t="n">
        <x:v>38</x:v>
      </x:c>
      <x:c r="B39" t="inlineStr">
        <x:is>
          <x:t xml:space="preserve">Vendor Monitoring</x:t>
        </x:is>
      </x:c>
      <x:c r="C39" t="inlineStr">
        <x:is>
          <x:t xml:space="preserve">Are third-party AI systems monitored?</x:t>
        </x:is>
      </x:c>
      <x:c r="D39" t="inlineStr">
        <x:is>
          <x:t xml:space="preserve">Vendor monitoring reports</x:t>
        </x:is>
      </x:c>
      <x:c r="E39" t="inlineStr">
        <x:is>
          <x:t xml:space="preserve"/>
        </x:is>
      </x:c>
      <x:c r="F39" t="inlineStr">
        <x:is>
          <x:t xml:space="preserve"/>
        </x:is>
      </x:c>
    </x:row>
    <x:row r="41">
      <x:c r="A41" s="2" t="n">
        <x:v>100</x:v>
      </x:c>
      <x:c r="B41" s="2" t="str">
        <x:v>Inventory</x:v>
      </x:c>
      <x:c r="C41" s="2" t="str">
        <x:v>Inventory models, agents, prompts, tools, data stores, embeddings, evaluations, owners, providers, versions, and deployment contexts.</x:v>
      </x:c>
      <x:c r="D41" s="2" t="str">
        <x:v>Approved inventory, architecture/data-flow diagram, owner confirmation and sampled reconciliation.</x:v>
      </x:c>
      <x:c r="E41" s="2" t="str">
        <x:v>Not Assessed</x:v>
      </x:c>
      <x:c r="F41" s="2" t="str">
        <x:v>https://www.nist.gov/itl/ai-risk-management-framework
https://genai.owasp.org/llm-top-10/
https://www.iso.org/standard/42001.html
https://atlas.mitre.org/</x:v>
      </x:c>
    </x:row>
    <x:row r="42">
      <x:c r="A42" s="2" t="n">
        <x:v>101</x:v>
      </x:c>
      <x:c r="B42" s="2" t="str">
        <x:v>Impact</x:v>
      </x:c>
      <x:c r="C42" s="2" t="str">
        <x:v>Perform documented impact and misuse assessments covering safety, privacy, bias, security, legal, and downstream reliance.</x:v>
      </x:c>
      <x:c r="D42" s="2" t="str">
        <x:v>Policy or design record, configuration evidence, representative sample, interview notes and tracked exceptions.</x:v>
      </x:c>
      <x:c r="E42" s="2" t="str">
        <x:v>Not Assessed</x:v>
      </x:c>
      <x:c r="F42" s="2" t="str">
        <x:v>https://www.nist.gov/itl/ai-risk-management-framework
https://genai.owasp.org/llm-top-10/
https://www.iso.org/standard/42001.html
https://atlas.mitre.org/</x:v>
      </x:c>
    </x:row>
    <x:row r="43">
      <x:c r="A43" s="2" t="n">
        <x:v>102</x:v>
      </x:c>
      <x:c r="B43" s="2" t="str">
        <x:v>Prompt injection</x:v>
      </x:c>
      <x:c r="C43" s="2" t="str">
        <x:v>Use benign adversarial prompts to verify instruction hierarchy, untrusted-content isolation, tool gating, and human approval.</x:v>
      </x:c>
      <x:c r="D43" s="2" t="str">
        <x:v>Policy or design record, configuration evidence, representative sample, interview notes and tracked exceptions.</x:v>
      </x:c>
      <x:c r="E43" s="2" t="str">
        <x:v>Not Assessed</x:v>
      </x:c>
      <x:c r="F43" s="2" t="str">
        <x:v>https://www.nist.gov/itl/ai-risk-management-framework
https://genai.owasp.org/llm-top-10/
https://www.iso.org/standard/42001.html
https://atlas.mitre.org/</x:v>
      </x:c>
    </x:row>
    <x:row r="44">
      <x:c r="A44" s="2" t="n">
        <x:v>103</x:v>
      </x:c>
      <x:c r="B44" s="2" t="str">
        <x:v>Agency</x:v>
      </x:c>
      <x:c r="C44" s="2" t="str">
        <x:v>Verify agents have least-privilege tools, scoped credentials, transaction limits, allow-listed actions, confirmations, and circuit breakers.</x:v>
      </x:c>
      <x:c r="D44" s="2" t="str">
        <x:v>Policy or design record, configuration evidence, representative sample, interview notes and tracked exceptions.</x:v>
      </x:c>
      <x:c r="E44" s="2" t="str">
        <x:v>Not Assessed</x:v>
      </x:c>
      <x:c r="F44" s="2" t="str">
        <x:v>https://www.nist.gov/itl/ai-risk-management-framework
https://genai.owasp.org/llm-top-10/
https://www.iso.org/standard/42001.html
https://atlas.mitre.org/</x:v>
      </x:c>
    </x:row>
    <x:row r="45">
      <x:c r="A45" s="2" t="n">
        <x:v>104</x:v>
      </x:c>
      <x:c r="B45" s="2" t="str">
        <x:v>Data</x:v>
      </x:c>
      <x:c r="C45" s="2" t="str">
        <x:v>Validate training, fine-tuning, RAG, and evaluation provenance; control poisoning, deletion, consent, retention, and cross-tenant leakage.</x:v>
      </x:c>
      <x:c r="D45" s="2" t="str">
        <x:v>Data inventory, configuration export, sampled records, access evidence, retention/deletion result.</x:v>
      </x:c>
      <x:c r="E45" s="2" t="str">
        <x:v>Not Assessed</x:v>
      </x:c>
      <x:c r="F45" s="2" t="str">
        <x:v>https://www.nist.gov/itl/ai-risk-management-framework
https://genai.owasp.org/llm-top-10/
https://www.iso.org/standard/42001.html
https://atlas.mitre.org/</x:v>
      </x:c>
    </x:row>
    <x:row r="46">
      <x:c r="A46" s="2" t="n">
        <x:v>105</x:v>
      </x:c>
      <x:c r="B46" s="2" t="str">
        <x:v>Output handling</x:v>
      </x:c>
      <x:c r="C46" s="2" t="str">
        <x:v>Treat model output as untrusted; validate encoding, citations, schema, destination authorization, and executable-content barriers.</x:v>
      </x:c>
      <x:c r="D46" s="2" t="str">
        <x:v>Policy or design record, configuration evidence, representative sample, interview notes and tracked exceptions.</x:v>
      </x:c>
      <x:c r="E46" s="2" t="str">
        <x:v>Not Assessed</x:v>
      </x:c>
      <x:c r="F46" s="2" t="str">
        <x:v>https://www.nist.gov/itl/ai-risk-management-framework
https://genai.owasp.org/llm-top-10/
https://www.iso.org/standard/42001.html
https://atlas.mitre.org/</x:v>
      </x:c>
    </x:row>
    <x:row r="47">
      <x:c r="A47" s="2" t="n">
        <x:v>106</x:v>
      </x:c>
      <x:c r="B47" s="2" t="str">
        <x:v>Model supply chain</x:v>
      </x:c>
      <x:c r="C47" s="2" t="str">
        <x:v>Verify model and dataset licenses, hashes, signatures, provider attestations, vulnerability notices, and rollback paths.</x:v>
      </x:c>
      <x:c r="D47" s="2" t="str">
        <x:v>Policy or design record, configuration evidence, representative sample, interview notes and tracked exceptions.</x:v>
      </x:c>
      <x:c r="E47" s="2" t="str">
        <x:v>Not Assessed</x:v>
      </x:c>
      <x:c r="F47" s="2" t="str">
        <x:v>https://www.nist.gov/itl/ai-risk-management-framework
https://genai.owasp.org/llm-top-10/
https://www.iso.org/standard/42001.html
https://atlas.mitre.org/</x:v>
      </x:c>
    </x:row>
    <x:row r="48">
      <x:c r="A48" s="2" t="n">
        <x:v>107</x:v>
      </x:c>
      <x:c r="B48" s="2" t="str">
        <x:v>Evaluation</x:v>
      </x:c>
      <x:c r="C48" s="2" t="str">
        <x:v>Maintain repeatable security, privacy, quality, robustness, abuse, and cost evaluations with release gates and regression thresholds.</x:v>
      </x:c>
      <x:c r="D48" s="2" t="str">
        <x:v>Policy or design record, configuration evidence, representative sample, interview notes and tracked exceptions.</x:v>
      </x:c>
      <x:c r="E48" s="2" t="str">
        <x:v>Not Assessed</x:v>
      </x:c>
      <x:c r="F48" s="2" t="str">
        <x:v>https://www.nist.gov/itl/ai-risk-management-framework
https://genai.owasp.org/llm-top-10/
https://www.iso.org/standard/42001.html
https://atlas.mitre.org/</x:v>
      </x:c>
    </x:row>
    <x:row r="49">
      <x:c r="A49" s="2" t="n">
        <x:v>108</x:v>
      </x:c>
      <x:c r="B49" s="2" t="str">
        <x:v>Monitoring</x:v>
      </x:c>
      <x:c r="C49" s="2" t="str">
        <x:v>Detect prompt abuse, anomalous tool use, data exfiltration patterns, unsafe output, drift, denial-of-wallet, and policy bypass attempts.</x:v>
      </x:c>
      <x:c r="D49" s="2" t="str">
        <x:v>Logging configuration, source-health view, alert rule, sample event and case record.</x:v>
      </x:c>
      <x:c r="E49" s="2" t="str">
        <x:v>Not Assessed</x:v>
      </x:c>
      <x:c r="F49" s="2" t="str">
        <x:v>https://www.nist.gov/itl/ai-risk-management-framework
https://genai.owasp.org/llm-top-10/
https://www.iso.org/standard/42001.html
https://atlas.mitre.org/</x:v>
      </x:c>
    </x:row>
    <x:row r="50">
      <x:c r="A50" s="2" t="n">
        <x:v>109</x:v>
      </x:c>
      <x:c r="B50" s="2" t="str">
        <x:v>Transparency</x:v>
      </x:c>
      <x:c r="C50" s="2" t="str">
        <x:v>Provide use limitations, human-oversight points, appeal routes, provenance, disclosure, and incident contacts appropriate to risk.</x:v>
      </x:c>
      <x:c r="D50" s="2" t="str">
        <x:v>Policy or design record, configuration evidence, representative sample, interview notes and tracked exceptions.</x:v>
      </x:c>
      <x:c r="E50" s="2" t="str">
        <x:v>Not Assessed</x:v>
      </x:c>
      <x:c r="F50" s="2" t="str">
        <x:v>https://www.nist.gov/itl/ai-risk-management-framework
https://genai.owasp.org/llm-top-10/
https://www.iso.org/standard/42001.html
https://atlas.mitre.org/</x:v>
      </x:c>
    </x:row>
    <x:row r="51">
      <x:c r="A51" s="2" t="n">
        <x:v>110</x:v>
      </x:c>
      <x:c r="B51" s="2" t="str">
        <x:v>Governance</x:v>
      </x:c>
      <x:c r="C51" s="2" t="str">
        <x:v>Confirm a named owner, business purpose, risk classification, approval path, and review cadence are documented.</x:v>
      </x:c>
      <x:c r="D51" s="2" t="str">
        <x:v>Policy or design record, configuration evidence, representative sample, interview notes and tracked exceptions.</x:v>
      </x:c>
      <x:c r="E51" s="2" t="str">
        <x:v>Not Assessed</x:v>
      </x:c>
      <x:c r="F51" s="2" t="str">
        <x:v>https://www.nist.gov/itl/ai-risk-management-framework
https://genai.owasp.org/llm-top-10/
https://www.iso.org/standard/42001.html
https://atlas.mitre.org/</x:v>
      </x:c>
    </x:row>
    <x:row r="52">
      <x:c r="A52" s="2" t="n">
        <x:v>111</x:v>
      </x:c>
      <x:c r="B52" s="2" t="str">
        <x:v>Scope</x:v>
      </x:c>
      <x:c r="C52" s="2" t="str">
        <x:v>Reconcile the authorized scope against inventories, architecture diagrams, data flows, dependencies, and exclusions before testing.</x:v>
      </x:c>
      <x:c r="D52" s="2" t="str">
        <x:v>Approved inventory, architecture/data-flow diagram, owner confirmation and sampled reconciliation.</x:v>
      </x:c>
      <x:c r="E52" s="2" t="str">
        <x:v>Not Assessed</x:v>
      </x:c>
      <x:c r="F52" s="2" t="str">
        <x:v>https://www.nist.gov/itl/ai-risk-management-framework
https://genai.owasp.org/llm-top-10/
https://www.iso.org/standard/42001.html
https://atlas.mitre.org/</x:v>
      </x:c>
    </x:row>
    <x:row r="53">
      <x:c r="A53" s="2" t="n">
        <x:v>112</x:v>
      </x:c>
      <x:c r="B53" s="2" t="str">
        <x:v>Access</x:v>
      </x:c>
      <x:c r="C53" s="2" t="str">
        <x:v>Verify least privilege, separation of duties, strong authentication, lifecycle controls, and emergency-access governance.</x:v>
      </x:c>
      <x:c r="D53" s="2" t="str">
        <x:v>Role/entitlement export, policy configuration, sampled account records and access-review evidence.</x:v>
      </x:c>
      <x:c r="E53" s="2" t="str">
        <x:v>Not Assessed</x:v>
      </x:c>
      <x:c r="F53" s="2" t="str">
        <x:v>https://www.nist.gov/itl/ai-risk-management-framework
https://genai.owasp.org/llm-top-10/
https://www.iso.org/standard/42001.html
https://atlas.mitre.org/</x:v>
      </x:c>
    </x:row>
    <x:row r="54">
      <x:c r="A54" s="2" t="n">
        <x:v>113</x:v>
      </x:c>
      <x:c r="B54" s="2" t="str">
        <x:v>Configuration</x:v>
      </x:c>
      <x:c r="C54" s="2" t="str">
        <x:v>Compare production configuration with an approved secure baseline and record justified deviations and compensating controls.</x:v>
      </x:c>
      <x:c r="D54" s="2" t="str">
        <x:v>Policy or design record, configuration evidence, representative sample, interview notes and tracked exceptions.</x:v>
      </x:c>
      <x:c r="E54" s="2" t="str">
        <x:v>Not Assessed</x:v>
      </x:c>
      <x:c r="F54" s="2" t="str">
        <x:v>https://www.nist.gov/itl/ai-risk-management-framework
https://genai.owasp.org/llm-top-10/
https://www.iso.org/standard/42001.html
https://atlas.mitre.org/</x:v>
      </x:c>
    </x:row>
    <x:row r="55">
      <x:c r="A55" s="2" t="n">
        <x:v>114</x:v>
      </x:c>
      <x:c r="B55" s="2" t="str">
        <x:v>Change management</x:v>
      </x:c>
      <x:c r="C55" s="2" t="str">
        <x:v>Trace a sample of changes from request through review, testing, approval, deployment, monitoring, and rollback readiness.</x:v>
      </x:c>
      <x:c r="D55" s="2" t="str">
        <x:v>Change ticket, peer review, test evidence, approval, deployment record and rollback result.</x:v>
      </x:c>
      <x:c r="E55" s="2" t="str">
        <x:v>Not Assessed</x:v>
      </x:c>
      <x:c r="F55" s="2" t="str">
        <x:v>https://www.nist.gov/itl/ai-risk-management-framework
https://genai.owasp.org/llm-top-10/
https://www.iso.org/standard/42001.html
https://atlas.mitre.org/</x:v>
      </x:c>
    </x:row>
    <x:row r="56">
      <x:c r="A56" s="2" t="n">
        <x:v>115</x:v>
      </x:c>
      <x:c r="B56" s="2" t="str">
        <x:v>Vulnerability management</x:v>
      </x:c>
      <x:c r="C56" s="2" t="str">
        <x:v>Verify risk-based discovery, triage, remediation targets, exception expiry, retesting, and exposure-aware prioritization.</x:v>
      </x:c>
      <x:c r="D56" s="2" t="str">
        <x:v>Policy or design record, configuration evidence, representative sample, interview notes and tracked exceptions.</x:v>
      </x:c>
      <x:c r="E56" s="2" t="str">
        <x:v>Not Assessed</x:v>
      </x:c>
      <x:c r="F56" s="2" t="str">
        <x:v>https://www.nist.gov/itl/ai-risk-management-framework
https://genai.owasp.org/llm-top-10/
https://www.iso.org/standard/42001.html
https://atlas.mitre.org/</x:v>
      </x:c>
    </x:row>
    <x:row r="57">
      <x:c r="A57" s="2" t="n">
        <x:v>116</x:v>
      </x:c>
      <x:c r="B57" s="2" t="str">
        <x:v>Monitoring</x:v>
      </x:c>
      <x:c r="C57" s="2" t="str">
        <x:v>Confirm security-relevant events are logged with synchronized time, protected from alteration, retained, alerted, and tested end to end.</x:v>
      </x:c>
      <x:c r="D57" s="2" t="str">
        <x:v>Logging configuration, source-health view, alert rule, sample event and case record.</x:v>
      </x:c>
      <x:c r="E57" s="2" t="str">
        <x:v>Not Assessed</x:v>
      </x:c>
      <x:c r="F57" s="2" t="str">
        <x:v>https://www.nist.gov/itl/ai-risk-management-framework
https://genai.owasp.org/llm-top-10/
https://www.iso.org/standard/42001.html
https://atlas.mitre.org/</x:v>
      </x:c>
    </x:row>
    <x:row r="58">
      <x:c r="A58" s="2" t="n">
        <x:v>117</x:v>
      </x:c>
      <x:c r="B58" s="2" t="str">
        <x:v>Resilience</x:v>
      </x:c>
      <x:c r="C58" s="2" t="str">
        <x:v>Verify backups, recovery dependencies, capacity limits, failover, and restoration exercises meet approved recovery objectives.</x:v>
      </x:c>
      <x:c r="D58" s="2" t="str">
        <x:v>Backup configuration, protected-copy evidence, restore/failover test record and recovery issue log.</x:v>
      </x:c>
      <x:c r="E58" s="2" t="str">
        <x:v>Not Assessed</x:v>
      </x:c>
      <x:c r="F58" s="2" t="str">
        <x:v>https://www.nist.gov/itl/ai-risk-management-framework
https://genai.owasp.org/llm-top-10/
https://www.iso.org/standard/42001.html
https://atlas.mitre.org/</x:v>
      </x:c>
    </x:row>
    <x:row r="59">
      <x:c r="A59" s="2" t="n">
        <x:v>118</x:v>
      </x:c>
      <x:c r="B59" s="2" t="str">
        <x:v>Third parties</x:v>
      </x:c>
      <x:c r="C59" s="2" t="str">
        <x:v>Identify external operators, components, data processors, support paths, and concentration risk; verify contract and exit controls.</x:v>
      </x:c>
      <x:c r="D59" s="2" t="str">
        <x:v>Supplier inventory, due-diligence evidence, contract clauses, exceptions and offboarding record.</x:v>
      </x:c>
      <x:c r="E59" s="2" t="str">
        <x:v>Not Assessed</x:v>
      </x:c>
      <x:c r="F59" s="2" t="str">
        <x:v>https://www.nist.gov/itl/ai-risk-management-framework
https://genai.owasp.org/llm-top-10/
https://www.iso.org/standard/42001.html
https://atlas.mitre.org/</x:v>
      </x:c>
    </x:row>
    <x:row r="60">
      <x:c r="A60" s="2" t="n">
        <x:v>119</x:v>
      </x:c>
      <x:c r="B60" s="2" t="str">
        <x:v>Evidence</x:v>
      </x:c>
      <x:c r="C60" s="2" t="str">
        <x:v>Record reproducible evidence, timestamps, asset identifiers, test-account context, limitations, affected control, owner, and retest result.</x:v>
      </x:c>
      <x:c r="D60" s="2" t="str">
        <x:v>Policy or design record, configuration evidence, representative sample, interview notes and tracked exceptions.</x:v>
      </x:c>
      <x:c r="E60" s="2" t="str">
        <x:v>Not Assessed</x:v>
      </x:c>
      <x:c r="F60" s="2" t="str">
        <x:v>https://www.nist.gov/itl/ai-risk-management-framework
https://genai.owasp.org/llm-top-10/
https://www.iso.org/standard/42001.html
https://atlas.mitre.org/</x:v>
      </x:c>
    </x:row>
  </x:sheetData>
  <x:dataValidations count="1">
    <x:dataValidation type="list" allowBlank="1" showDropDown="0" showInputMessage="0" showErrorMessage="0" sqref="E2:E39">
      <x:formula1>"Yes,No,Partial"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25" customWidth="1"/>
    <x:col min="2" max="2" width="25" customWidth="1"/>
  </x:cols>
  <x:sheetData>
    <x:row r="1">
      <x:c r="A1" s="1" t="inlineStr">
        <x:is>
          <x:t xml:space="preserve">Metric</x:t>
        </x:is>
      </x:c>
      <x:c r="B1" s="1" t="inlineStr">
        <x:is>
          <x:t xml:space="preserve">Value</x:t>
        </x:is>
      </x:c>
    </x:row>
    <x:row r="2">
      <x:c r="A2" t="inlineStr">
        <x:is>
          <x:t xml:space="preserve">Total Controls</x:t>
        </x:is>
      </x:c>
      <x:c r="B2" t="n">
        <x:f>COUNTA('ISO42001 Checklist'!A2:A60)</x:f>
        <x:v>58</x:v>
      </x:c>
    </x:row>
    <x:row r="3">
      <x:c r="A3" t="inlineStr">
        <x:is>
          <x:t xml:space="preserve">Yes</x:t>
        </x:is>
      </x:c>
      <x:c r="B3" t="n">
        <x:f>COUNTIF('ISO42001 Checklist'!E2:E60,"Yes")</x:f>
        <x:v>0</x:v>
      </x:c>
    </x:row>
    <x:row r="4">
      <x:c r="A4" t="inlineStr">
        <x:is>
          <x:t xml:space="preserve">No</x:t>
        </x:is>
      </x:c>
      <x:c r="B4" t="n">
        <x:f>COUNTIF('ISO42001 Checklist'!E2:E60,"No")</x:f>
        <x:v>0</x:v>
      </x:c>
    </x:row>
    <x:row r="5">
      <x:c r="A5" t="inlineStr">
        <x:is>
          <x:t xml:space="preserve">Partial</x:t>
        </x:is>
      </x:c>
      <x:c r="B5" t="n">
        <x:f>COUNTIF('ISO42001 Checklist'!E2:E60,"Partial")</x:f>
        <x:v>0</x:v>
      </x:c>
    </x:row>
    <x:row r="6">
      <x:c r="A6" t="inlineStr">
        <x:is>
          <x:t xml:space="preserve">Completion %</x:t>
        </x:is>
      </x:c>
      <x:c r="B6" s="3" t="n">
        <x:f>IF(B2=0,0,(B3+B5*0.5)/B2)</x:f>
        <x:v>0</x:v>
      </x:c>
    </x:row>
  </x:sheetData>
  <x:pageMargins left="0.7" right="0.7" top="0.75" bottom="0.75" header="0.3" footer="0.3"/>
</x:worksheet>
</file>